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xample\"/>
    </mc:Choice>
  </mc:AlternateContent>
  <xr:revisionPtr revIDLastSave="0" documentId="13_ncr:1_{B1514985-A030-425E-92DE-E2633F5D8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3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G5" i="1"/>
  <c r="G8" i="1" s="1"/>
  <c r="G6" i="1"/>
  <c r="G7" i="1"/>
  <c r="C8" i="1"/>
  <c r="D8" i="1"/>
  <c r="E8" i="1"/>
  <c r="F8" i="1"/>
  <c r="G10" i="1"/>
  <c r="E11" i="1"/>
  <c r="G11" i="1" s="1"/>
  <c r="G12" i="1"/>
  <c r="G13" i="1"/>
  <c r="C14" i="1"/>
  <c r="D14" i="1"/>
  <c r="F14" i="1"/>
  <c r="C15" i="1"/>
  <c r="D15" i="1"/>
  <c r="F15" i="1"/>
  <c r="G14" i="1" l="1"/>
  <c r="G15" i="1"/>
  <c r="E14" i="1"/>
  <c r="E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15" authorId="0" shapeId="0" xr:uid="{E1EF23F6-60D6-4AD4-9428-1158DCC2310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shoud be equal to value of Total Fixed asset in B/S of GAD closings</t>
        </r>
      </text>
    </comment>
  </commentList>
</comments>
</file>

<file path=xl/sharedStrings.xml><?xml version="1.0" encoding="utf-8"?>
<sst xmlns="http://schemas.openxmlformats.org/spreadsheetml/2006/main" count="22" uniqueCount="22">
  <si>
    <t>Net Book Value</t>
  </si>
  <si>
    <t>3.2.1</t>
  </si>
  <si>
    <t>Total Depreciation</t>
  </si>
  <si>
    <t>Depreciation on Revaluation</t>
  </si>
  <si>
    <r>
      <t xml:space="preserve">Depreciation on </t>
    </r>
    <r>
      <rPr>
        <sz val="10"/>
        <rFont val="Arial"/>
        <family val="2"/>
      </rPr>
      <t>Disposals</t>
    </r>
  </si>
  <si>
    <t>For the current Year to Date</t>
  </si>
  <si>
    <t>As at end of Last Year</t>
  </si>
  <si>
    <t>Less Accumulated Depreciation</t>
  </si>
  <si>
    <t>Current Value At Cost</t>
  </si>
  <si>
    <r>
      <t>Disposals</t>
    </r>
    <r>
      <rPr>
        <sz val="10"/>
        <rFont val="Arial"/>
        <family val="2"/>
      </rPr>
      <t xml:space="preserve"> During the Year</t>
    </r>
  </si>
  <si>
    <r>
      <t>Additions</t>
    </r>
    <r>
      <rPr>
        <sz val="10"/>
        <rFont val="Arial"/>
        <family val="2"/>
      </rPr>
      <t xml:space="preserve"> During the Year</t>
    </r>
  </si>
  <si>
    <t>At Cost</t>
  </si>
  <si>
    <t>Total</t>
  </si>
  <si>
    <t>Other Fixed Assets</t>
  </si>
  <si>
    <t>Furniture, Fixtures, Fittings &amp; Office Equipment</t>
  </si>
  <si>
    <t>Motor Vehicles</t>
  </si>
  <si>
    <t>Land and Buildings</t>
  </si>
  <si>
    <t>Asset type :-</t>
  </si>
  <si>
    <t>Serial</t>
  </si>
  <si>
    <t>Date</t>
  </si>
  <si>
    <t>Code</t>
  </si>
  <si>
    <r>
      <t xml:space="preserve"> </t>
    </r>
    <r>
      <rPr>
        <b/>
        <sz val="12"/>
        <rFont val="Arial"/>
        <family val="2"/>
      </rPr>
      <t xml:space="preserve">Statement of Condition  -  </t>
    </r>
    <r>
      <rPr>
        <b/>
        <sz val="12"/>
        <color indexed="10"/>
        <rFont val="Arial"/>
        <family val="2"/>
      </rPr>
      <t>M1</t>
    </r>
    <r>
      <rPr>
        <b/>
        <sz val="12"/>
        <rFont val="Arial"/>
        <family val="2"/>
      </rPr>
      <t xml:space="preserve">  -  Page 3</t>
    </r>
    <r>
      <rPr>
        <b/>
        <sz val="12"/>
        <color indexed="12"/>
        <rFont val="Arial"/>
        <family val="2"/>
      </rPr>
      <t xml:space="preserve"> Fixed Assets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</si>
</sst>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-#,##0\ "/>
    <numFmt numFmtId="165" formatCode="#,##0.00_ ;[Red]\-#,##0.00\ "/>
    <numFmt numFmtId="166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6" fontId="7" fillId="0" borderId="0" applyFont="0" applyFill="0" applyBorder="0" applyAlignment="0" applyProtection="0"/>
  </cellStyleXfs>
  <cellXfs count="53">
    <xf numFmtId="0" fontId="0" fillId="0" borderId="0" xfId="0"/>
    <xf numFmtId="164" fontId="1" fillId="2" borderId="1" xfId="0" applyNumberFormat="1" applyFont="1" applyFill="1" applyBorder="1" applyProtection="1">
      <protection hidden="1"/>
    </xf>
    <xf numFmtId="165" fontId="2" fillId="3" borderId="1" xfId="0" applyNumberFormat="1" applyFont="1" applyFill="1" applyBorder="1" applyProtection="1">
      <protection hidden="1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165" fontId="4" fillId="3" borderId="4" xfId="0" applyNumberFormat="1" applyFont="1" applyFill="1" applyBorder="1" applyProtection="1">
      <protection hidden="1"/>
    </xf>
    <xf numFmtId="165" fontId="4" fillId="3" borderId="5" xfId="0" applyNumberFormat="1" applyFont="1" applyFill="1" applyBorder="1" applyProtection="1">
      <protection hidden="1"/>
    </xf>
    <xf numFmtId="0" fontId="5" fillId="0" borderId="5" xfId="0" applyFont="1" applyBorder="1"/>
    <xf numFmtId="0" fontId="3" fillId="0" borderId="6" xfId="0" applyFont="1" applyBorder="1" applyAlignment="1">
      <alignment horizontal="right"/>
    </xf>
    <xf numFmtId="165" fontId="6" fillId="0" borderId="7" xfId="0" applyNumberFormat="1" applyFont="1" applyBorder="1" applyProtection="1">
      <protection hidden="1"/>
    </xf>
    <xf numFmtId="165" fontId="6" fillId="0" borderId="8" xfId="0" applyNumberFormat="1" applyFont="1" applyBorder="1" applyProtection="1">
      <protection locked="0"/>
    </xf>
    <xf numFmtId="0" fontId="6" fillId="0" borderId="9" xfId="0" applyFont="1" applyBorder="1"/>
    <xf numFmtId="0" fontId="0" fillId="0" borderId="10" xfId="0" applyBorder="1"/>
    <xf numFmtId="165" fontId="7" fillId="0" borderId="7" xfId="0" applyNumberFormat="1" applyFont="1" applyBorder="1" applyProtection="1">
      <protection hidden="1"/>
    </xf>
    <xf numFmtId="165" fontId="7" fillId="0" borderId="8" xfId="0" applyNumberFormat="1" applyFont="1" applyBorder="1" applyProtection="1">
      <protection locked="0"/>
    </xf>
    <xf numFmtId="0" fontId="4" fillId="0" borderId="9" xfId="0" applyFont="1" applyBorder="1"/>
    <xf numFmtId="166" fontId="4" fillId="0" borderId="7" xfId="1" applyFont="1" applyBorder="1" applyProtection="1">
      <protection hidden="1"/>
    </xf>
    <xf numFmtId="165" fontId="4" fillId="0" borderId="8" xfId="0" applyNumberFormat="1" applyFont="1" applyBorder="1" applyProtection="1">
      <protection locked="0"/>
    </xf>
    <xf numFmtId="166" fontId="4" fillId="0" borderId="8" xfId="1" applyFont="1" applyBorder="1" applyProtection="1">
      <protection locked="0"/>
    </xf>
    <xf numFmtId="165" fontId="4" fillId="0" borderId="7" xfId="0" applyNumberFormat="1" applyFont="1" applyBorder="1" applyProtection="1">
      <protection hidden="1"/>
    </xf>
    <xf numFmtId="165" fontId="0" fillId="0" borderId="7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165" fontId="0" fillId="3" borderId="11" xfId="0" applyNumberFormat="1" applyFill="1" applyBorder="1" applyProtection="1">
      <protection hidden="1"/>
    </xf>
    <xf numFmtId="165" fontId="0" fillId="3" borderId="12" xfId="0" applyNumberFormat="1" applyFill="1" applyBorder="1" applyProtection="1">
      <protection hidden="1"/>
    </xf>
    <xf numFmtId="0" fontId="3" fillId="0" borderId="12" xfId="0" applyFont="1" applyBorder="1"/>
    <xf numFmtId="0" fontId="3" fillId="0" borderId="13" xfId="0" applyFont="1" applyBorder="1" applyAlignment="1">
      <alignment horizontal="right"/>
    </xf>
    <xf numFmtId="40" fontId="0" fillId="0" borderId="7" xfId="0" applyNumberFormat="1" applyBorder="1" applyProtection="1">
      <protection hidden="1"/>
    </xf>
    <xf numFmtId="165" fontId="4" fillId="0" borderId="14" xfId="0" applyNumberFormat="1" applyFont="1" applyBorder="1" applyProtection="1">
      <protection locked="0"/>
    </xf>
    <xf numFmtId="0" fontId="5" fillId="0" borderId="9" xfId="0" applyFont="1" applyBorder="1"/>
    <xf numFmtId="165" fontId="0" fillId="0" borderId="7" xfId="0" applyNumberFormat="1" applyBorder="1" applyProtection="1">
      <protection hidden="1"/>
    </xf>
    <xf numFmtId="165" fontId="0" fillId="0" borderId="8" xfId="0" applyNumberFormat="1" applyBorder="1" applyProtection="1">
      <protection locked="0"/>
    </xf>
    <xf numFmtId="0" fontId="3" fillId="0" borderId="9" xfId="0" applyFont="1" applyBorder="1"/>
    <xf numFmtId="165" fontId="0" fillId="0" borderId="5" xfId="0" applyNumberFormat="1" applyBorder="1" applyProtection="1">
      <protection locked="0"/>
    </xf>
    <xf numFmtId="0" fontId="0" fillId="0" borderId="15" xfId="0" applyBorder="1"/>
    <xf numFmtId="0" fontId="0" fillId="0" borderId="6" xfId="0" applyBorder="1"/>
    <xf numFmtId="0" fontId="3" fillId="0" borderId="16" xfId="0" applyFont="1" applyBorder="1" applyAlignment="1" applyProtection="1">
      <alignment horizontal="center"/>
      <protection hidden="1"/>
    </xf>
    <xf numFmtId="0" fontId="3" fillId="0" borderId="17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8" xfId="0" applyFont="1" applyBorder="1"/>
    <xf numFmtId="0" fontId="8" fillId="0" borderId="19" xfId="0" applyFont="1" applyBorder="1" applyAlignment="1" applyProtection="1">
      <alignment horizontal="center"/>
      <protection hidden="1"/>
    </xf>
    <xf numFmtId="0" fontId="8" fillId="0" borderId="20" xfId="0" applyFont="1" applyBorder="1" applyAlignment="1" applyProtection="1">
      <alignment horizontal="center"/>
      <protection hidden="1"/>
    </xf>
    <xf numFmtId="0" fontId="8" fillId="0" borderId="17" xfId="0" applyFont="1" applyBorder="1" applyAlignment="1" applyProtection="1">
      <alignment horizontal="center"/>
      <protection hidden="1"/>
    </xf>
    <xf numFmtId="0" fontId="3" fillId="0" borderId="21" xfId="0" applyFont="1" applyBorder="1" applyAlignment="1">
      <alignment horizontal="left"/>
    </xf>
    <xf numFmtId="0" fontId="8" fillId="0" borderId="7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22" xfId="0" applyFont="1" applyBorder="1" applyAlignment="1" applyProtection="1">
      <alignment horizontal="center"/>
      <protection hidden="1"/>
    </xf>
    <xf numFmtId="0" fontId="3" fillId="0" borderId="10" xfId="0" applyFont="1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2">
    <cellStyle name="Comma 2 10" xfId="1" xr:uid="{34E0917F-3098-4637-B527-3508CAD4E8A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NB022206%20RICBL%20June%202022.xlsx" TargetMode="External"/><Relationship Id="rId1" Type="http://schemas.openxmlformats.org/officeDocument/2006/relationships/externalLinkPath" Target="file:///C:\Users\USER\OneDrive\Desktop\NB022206%20RICBL%20June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:\FNA\115073\2019\FIRMA%20Reports\FIRMA%202019\may\MAY,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M1P1"/>
      <sheetName val="M1P2"/>
      <sheetName val="M1P3"/>
      <sheetName val="M1P4"/>
      <sheetName val="M1P5"/>
      <sheetName val="Schedule 1"/>
      <sheetName val="Schedule 2"/>
      <sheetName val="M2"/>
      <sheetName val="Schedule 3"/>
      <sheetName val="M3"/>
      <sheetName val="M4"/>
      <sheetName val="Schedule 4"/>
      <sheetName val="M5"/>
      <sheetName val="M6P1 (a)"/>
      <sheetName val="M6P1 (b)"/>
      <sheetName val="M6P2 (a)"/>
      <sheetName val="M6P2 (b)"/>
      <sheetName val="M6P3"/>
      <sheetName val="M7"/>
      <sheetName val="Schedule 5"/>
      <sheetName val="M8"/>
      <sheetName val="Schedule 6"/>
      <sheetName val="M9"/>
      <sheetName val="M10"/>
      <sheetName val="Schedule 7"/>
      <sheetName val="M11"/>
      <sheetName val="Schedule 8"/>
      <sheetName val="M12"/>
      <sheetName val="M13"/>
      <sheetName val="M14"/>
      <sheetName val="M15"/>
      <sheetName val="M16"/>
      <sheetName val="M17"/>
      <sheetName val="M18"/>
      <sheetName val="M19"/>
      <sheetName val="M20"/>
      <sheetName val="Q1"/>
      <sheetName val="Q2"/>
      <sheetName val="Q3"/>
      <sheetName val="Q4"/>
      <sheetName val="Q5"/>
      <sheetName val="Y1"/>
      <sheetName val="Data History"/>
      <sheetName val="Ratios"/>
      <sheetName val="Sheet1"/>
    </sheetNames>
    <sheetDataSet>
      <sheetData sheetId="0"/>
      <sheetData sheetId="1">
        <row r="3">
          <cell r="D3" t="str">
            <v>30.06.2022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D TB"/>
      <sheetName val="TB CID"/>
      <sheetName val="GAD TH"/>
      <sheetName val="GAD Trail"/>
      <sheetName val="GAD HO"/>
      <sheetName val="GIS"/>
      <sheetName val="GISR"/>
      <sheetName val="LTB"/>
      <sheetName val="LFRV"/>
      <sheetName val="GN TB"/>
      <sheetName val="GN RV"/>
      <sheetName val="RI TB"/>
      <sheetName val="RI RV"/>
      <sheetName val="PPF TB"/>
      <sheetName val="PPF RV"/>
      <sheetName val="ANN TB"/>
      <sheetName val="ANN RV"/>
      <sheetName val="Reconcilation"/>
      <sheetName val="RO&amp;BR"/>
      <sheetName val="Mgt"/>
      <sheetName val="M1P1"/>
      <sheetName val="M1P2"/>
      <sheetName val="Schedule 1"/>
      <sheetName val="Schedule 2"/>
      <sheetName val="Schedule 3"/>
      <sheetName val="Schedule 4"/>
      <sheetName val="Schedule 5"/>
      <sheetName val="M2"/>
      <sheetName val="Schedule 6"/>
      <sheetName val="M3"/>
      <sheetName val="M4"/>
      <sheetName val="M5"/>
      <sheetName val="M6P1"/>
      <sheetName val="M6P2"/>
      <sheetName val="M6P3"/>
      <sheetName val="M7"/>
      <sheetName val="Schedule 7"/>
      <sheetName val="M8"/>
      <sheetName val="Schedule 8"/>
      <sheetName val="M9"/>
      <sheetName val="Schedule 9"/>
      <sheetName val="M10"/>
      <sheetName val="Schedule 10"/>
      <sheetName val="M11"/>
      <sheetName val="Schedule 11"/>
      <sheetName val="M12"/>
      <sheetName val="M13"/>
      <sheetName val="M13P1"/>
      <sheetName val="M13P2"/>
      <sheetName val="M14"/>
      <sheetName val="M15"/>
      <sheetName val="Q1P1"/>
      <sheetName val="Q1P2"/>
      <sheetName val="Q1P3"/>
      <sheetName val="Q2"/>
      <sheetName val="Q3"/>
      <sheetName val="Q4"/>
      <sheetName val="Q5"/>
      <sheetName val="Q6"/>
      <sheetName val="Q7"/>
      <sheetName val="Q8"/>
      <sheetName val="Q9"/>
      <sheetName val="Y1"/>
      <sheetName val="Data History"/>
      <sheetName val="Ratios"/>
      <sheetName val="Vital Inf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B2" t="str">
            <v>NB00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4" sqref="I4"/>
    </sheetView>
  </sheetViews>
  <sheetFormatPr defaultRowHeight="14.5" x14ac:dyDescent="0.35"/>
  <cols>
    <col min="1" max="1" width="5.6328125" bestFit="1" customWidth="1"/>
    <col min="2" max="2" width="26.26953125" bestFit="1" customWidth="1"/>
    <col min="3" max="3" width="17.54296875" bestFit="1" customWidth="1"/>
    <col min="4" max="4" width="12.90625" bestFit="1" customWidth="1"/>
    <col min="5" max="5" width="14.08984375" bestFit="1" customWidth="1"/>
    <col min="6" max="6" width="13.08984375" bestFit="1" customWidth="1"/>
    <col min="7" max="7" width="15.453125" bestFit="1" customWidth="1"/>
  </cols>
  <sheetData>
    <row r="1" spans="1:7" ht="16" thickBot="1" x14ac:dyDescent="0.4">
      <c r="A1" s="52"/>
      <c r="B1" s="51" t="s">
        <v>21</v>
      </c>
      <c r="C1" s="50"/>
      <c r="D1" s="50"/>
      <c r="E1" s="50"/>
      <c r="F1" s="50"/>
      <c r="G1" s="49"/>
    </row>
    <row r="2" spans="1:7" x14ac:dyDescent="0.35">
      <c r="A2" s="48" t="s">
        <v>20</v>
      </c>
      <c r="B2" s="47" t="str">
        <f>[2]M1P2!B2</f>
        <v>NB00</v>
      </c>
      <c r="C2" s="46"/>
      <c r="D2" s="46"/>
      <c r="E2" s="46"/>
      <c r="F2" s="46"/>
      <c r="G2" s="45"/>
    </row>
    <row r="3" spans="1:7" x14ac:dyDescent="0.35">
      <c r="A3" s="44" t="s">
        <v>19</v>
      </c>
      <c r="B3" s="43" t="str">
        <f>[1]M1P1!D3</f>
        <v>30.06.2022</v>
      </c>
      <c r="C3" s="42"/>
      <c r="D3" s="42"/>
      <c r="E3" s="42"/>
      <c r="F3" s="42"/>
      <c r="G3" s="41"/>
    </row>
    <row r="4" spans="1:7" ht="91.5" x14ac:dyDescent="0.35">
      <c r="A4" s="40" t="s">
        <v>18</v>
      </c>
      <c r="B4" s="25" t="s">
        <v>17</v>
      </c>
      <c r="C4" s="39" t="s">
        <v>16</v>
      </c>
      <c r="D4" s="38" t="s">
        <v>15</v>
      </c>
      <c r="E4" s="38" t="s">
        <v>14</v>
      </c>
      <c r="F4" s="37" t="s">
        <v>13</v>
      </c>
      <c r="G4" s="36" t="s">
        <v>12</v>
      </c>
    </row>
    <row r="5" spans="1:7" x14ac:dyDescent="0.35">
      <c r="A5" s="35"/>
      <c r="B5" s="34" t="s">
        <v>11</v>
      </c>
      <c r="C5" s="33">
        <v>1179049553.288074</v>
      </c>
      <c r="D5" s="33">
        <v>11065891.810000001</v>
      </c>
      <c r="E5" s="33">
        <v>139736489.19</v>
      </c>
      <c r="F5" s="33">
        <v>52452115</v>
      </c>
      <c r="G5" s="30">
        <f>C5+D5+E5+F5</f>
        <v>1382304049.288074</v>
      </c>
    </row>
    <row r="6" spans="1:7" x14ac:dyDescent="0.35">
      <c r="A6" s="12"/>
      <c r="B6" s="32" t="s">
        <v>10</v>
      </c>
      <c r="C6" s="31">
        <v>778289427.22000003</v>
      </c>
      <c r="D6" s="31">
        <v>0</v>
      </c>
      <c r="E6" s="31">
        <v>11096649.519999998</v>
      </c>
      <c r="F6" s="31">
        <v>1118327</v>
      </c>
      <c r="G6" s="30">
        <f>C6+D6+E6+F6</f>
        <v>790504403.74000001</v>
      </c>
    </row>
    <row r="7" spans="1:7" x14ac:dyDescent="0.35">
      <c r="A7" s="12"/>
      <c r="B7" s="29" t="s">
        <v>9</v>
      </c>
      <c r="C7" s="17">
        <v>0</v>
      </c>
      <c r="D7" s="17">
        <v>0</v>
      </c>
      <c r="E7" s="17">
        <v>0</v>
      </c>
      <c r="F7" s="28">
        <v>0</v>
      </c>
      <c r="G7" s="27">
        <f>C7+D7+E7+F7</f>
        <v>0</v>
      </c>
    </row>
    <row r="8" spans="1:7" x14ac:dyDescent="0.35">
      <c r="A8" s="26">
        <v>3.1</v>
      </c>
      <c r="B8" s="25" t="s">
        <v>8</v>
      </c>
      <c r="C8" s="24">
        <f>C5+C6-C7</f>
        <v>1957338980.508074</v>
      </c>
      <c r="D8" s="24">
        <f>D5+D6-D7</f>
        <v>11065891.810000001</v>
      </c>
      <c r="E8" s="24">
        <f>E5+E6-E7</f>
        <v>150833138.71000001</v>
      </c>
      <c r="F8" s="24">
        <f>F5+F6-F7</f>
        <v>53570442</v>
      </c>
      <c r="G8" s="23">
        <f>G5+G6-G7</f>
        <v>2172808453.0280743</v>
      </c>
    </row>
    <row r="9" spans="1:7" x14ac:dyDescent="0.35">
      <c r="A9" s="12"/>
      <c r="B9" s="15" t="s">
        <v>7</v>
      </c>
      <c r="C9" s="22"/>
      <c r="D9" s="22"/>
      <c r="E9" s="22"/>
      <c r="F9" s="21"/>
      <c r="G9" s="20"/>
    </row>
    <row r="10" spans="1:7" x14ac:dyDescent="0.35">
      <c r="A10" s="12"/>
      <c r="B10" s="15" t="s">
        <v>6</v>
      </c>
      <c r="C10" s="17">
        <v>97403989.829884842</v>
      </c>
      <c r="D10" s="17">
        <v>5721768.96</v>
      </c>
      <c r="E10" s="17">
        <v>90449397.219828784</v>
      </c>
      <c r="F10" s="17">
        <v>41664173.926027402</v>
      </c>
      <c r="G10" s="19">
        <f>C10+D10+E10+F10</f>
        <v>235239329.93574101</v>
      </c>
    </row>
    <row r="11" spans="1:7" x14ac:dyDescent="0.35">
      <c r="A11" s="12"/>
      <c r="B11" s="15" t="s">
        <v>5</v>
      </c>
      <c r="C11" s="17">
        <v>9289405.6961108502</v>
      </c>
      <c r="D11" s="18">
        <v>1659883.8</v>
      </c>
      <c r="E11" s="18">
        <f>13233382.5073068+731978.35</f>
        <v>13965360.857306799</v>
      </c>
      <c r="F11" s="17">
        <v>2498332.83894521</v>
      </c>
      <c r="G11" s="16">
        <f>C11+D11+E11+F11</f>
        <v>27412983.19236286</v>
      </c>
    </row>
    <row r="12" spans="1:7" x14ac:dyDescent="0.35">
      <c r="A12" s="12"/>
      <c r="B12" s="15" t="s">
        <v>4</v>
      </c>
      <c r="C12" s="14">
        <v>0</v>
      </c>
      <c r="D12" s="14">
        <v>0</v>
      </c>
      <c r="E12" s="14">
        <v>0</v>
      </c>
      <c r="F12" s="14">
        <v>0</v>
      </c>
      <c r="G12" s="13">
        <f>SUM(C12:F12)</f>
        <v>0</v>
      </c>
    </row>
    <row r="13" spans="1:7" x14ac:dyDescent="0.35">
      <c r="A13" s="12"/>
      <c r="B13" s="11" t="s">
        <v>3</v>
      </c>
      <c r="C13" s="10"/>
      <c r="D13" s="10"/>
      <c r="E13" s="10"/>
      <c r="F13" s="10"/>
      <c r="G13" s="9">
        <f>SUM(C13:F13)</f>
        <v>0</v>
      </c>
    </row>
    <row r="14" spans="1:7" ht="15" thickBot="1" x14ac:dyDescent="0.4">
      <c r="A14" s="8">
        <v>3.2</v>
      </c>
      <c r="B14" s="7" t="s">
        <v>2</v>
      </c>
      <c r="C14" s="6">
        <f>C10+C11-C12+C13</f>
        <v>106693395.52599569</v>
      </c>
      <c r="D14" s="6">
        <f>D10+D11-D12+D13</f>
        <v>7381652.7599999998</v>
      </c>
      <c r="E14" s="6">
        <f>E10+E11-E12+E13</f>
        <v>104414758.07713558</v>
      </c>
      <c r="F14" s="6">
        <f>F10+F11-F12+F13</f>
        <v>44162506.764972612</v>
      </c>
      <c r="G14" s="5">
        <f>G10+G11-G12+G13</f>
        <v>262652313.12810385</v>
      </c>
    </row>
    <row r="15" spans="1:7" ht="16" thickBot="1" x14ac:dyDescent="0.4">
      <c r="A15" s="4" t="s">
        <v>1</v>
      </c>
      <c r="B15" s="3" t="s">
        <v>0</v>
      </c>
      <c r="C15" s="2">
        <f>C8-C14</f>
        <v>1850645584.9820783</v>
      </c>
      <c r="D15" s="2">
        <f>D8-D14</f>
        <v>3684239.0500000007</v>
      </c>
      <c r="E15" s="2">
        <f>E8-E14</f>
        <v>46418380.632864431</v>
      </c>
      <c r="F15" s="2">
        <f>F8-F14</f>
        <v>9407935.2350273877</v>
      </c>
      <c r="G15" s="1">
        <f>G8-G14</f>
        <v>1910156139.8999705</v>
      </c>
    </row>
  </sheetData>
  <mergeCells count="3">
    <mergeCell ref="B1:G1"/>
    <mergeCell ref="B2:G2"/>
    <mergeCell ref="B3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Budhi gurung</cp:lastModifiedBy>
  <dcterms:created xsi:type="dcterms:W3CDTF">2015-06-05T18:17:20Z</dcterms:created>
  <dcterms:modified xsi:type="dcterms:W3CDTF">2026-06-01T04:58:01Z</dcterms:modified>
</cp:coreProperties>
</file>